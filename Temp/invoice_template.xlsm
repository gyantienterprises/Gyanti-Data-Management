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arv\OneDrive\Desktop\Gyanti Enterprises\Template\"/>
    </mc:Choice>
  </mc:AlternateContent>
  <xr:revisionPtr revIDLastSave="0" documentId="13_ncr:1_{51AE15B9-636E-4945-8887-B32108A84E90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Tax Invoice" sheetId="1" r:id="rId1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17" i="1" l="1"/>
  <c r="G15" i="1"/>
  <c r="I15" i="1" s="1"/>
  <c r="G16" i="1"/>
  <c r="I16" i="1" s="1"/>
  <c r="G17" i="1"/>
  <c r="G14" i="1"/>
  <c r="I14" i="1" s="1"/>
  <c r="E18" i="1"/>
  <c r="J18" i="1"/>
  <c r="J25" i="1" s="1"/>
  <c r="J27" i="1" s="1"/>
  <c r="J21" i="1"/>
  <c r="J22" i="1"/>
  <c r="J23" i="1"/>
  <c r="B21" i="1" a="1"/>
  <c r="B21" i="1" l="1"/>
  <c r="I18" i="1"/>
  <c r="J20" i="1" s="1"/>
  <c r="J2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<sst xmlns="http://schemas.openxmlformats.org/spreadsheetml/2006/main" count="46" uniqueCount="42">
  <si>
    <t>Gyanti Enterprises</t>
  </si>
  <si>
    <t>534, Rajrooppur, Allahabad</t>
  </si>
  <si>
    <t>Phone no.: 9076640155    |    Email: sanjay.cicconsultant@gmail.com</t>
  </si>
  <si>
    <t>GSTIN: 09BGXPV1663G1ZL    |    State: 09-Uttar Pradesh</t>
  </si>
  <si>
    <t>Bill To</t>
  </si>
  <si>
    <t>#</t>
  </si>
  <si>
    <t>Item Name</t>
  </si>
  <si>
    <t>HSN/SAC</t>
  </si>
  <si>
    <t>Qty</t>
  </si>
  <si>
    <t>Unit</t>
  </si>
  <si>
    <t>Price/Unit</t>
  </si>
  <si>
    <t>GST %</t>
  </si>
  <si>
    <t>GST Amt</t>
  </si>
  <si>
    <t>Amount</t>
  </si>
  <si>
    <t>Nos</t>
  </si>
  <si>
    <t>Installation Charge</t>
  </si>
  <si>
    <t>Total</t>
  </si>
  <si>
    <t>Invoice Amount In Words</t>
  </si>
  <si>
    <t>Sub Total</t>
  </si>
  <si>
    <t>SGST @ 9.0%</t>
  </si>
  <si>
    <t>CGST @ 9.0%</t>
  </si>
  <si>
    <t>SGST @ 2.5%</t>
  </si>
  <si>
    <t>Thank you for doing business with us.</t>
  </si>
  <si>
    <t>CGST @ 2.5%</t>
  </si>
  <si>
    <t>Received</t>
  </si>
  <si>
    <t>Balance</t>
  </si>
  <si>
    <t>Pay To:</t>
  </si>
  <si>
    <t>Bank Name: HDFC Bank, Jhalwa Prayagraj</t>
  </si>
  <si>
    <t>Bank Account No.: 50200103168717</t>
  </si>
  <si>
    <t>Bank IFSC code: HDFC0008885</t>
  </si>
  <si>
    <t>Account Holder's Name: Gyanti Enterprises</t>
  </si>
  <si>
    <t xml:space="preserve">
Authorized Signatory</t>
  </si>
  <si>
    <t>Invoice Details</t>
  </si>
  <si>
    <t>INVOICE</t>
  </si>
  <si>
    <t>Invoice No.: 4</t>
  </si>
  <si>
    <t>Date.: 28-02-2026</t>
  </si>
  <si>
    <t>Solar Pannel {KW} KW</t>
  </si>
  <si>
    <t xml:space="preserve">Ongrid inverter {KW} KW </t>
  </si>
  <si>
    <t>Solar Module Mounting Structure, ACDB, DCDB, PVC Pipe, Nut Bolt, Z&amp;U Clamp, Earthing Kit, DC Wair, AC Wair</t>
  </si>
  <si>
    <t>Name</t>
  </si>
  <si>
    <t>Address</t>
  </si>
  <si>
    <t>Contact No.: Contact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</si>
</sst>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₹#,##0.00"/>
    <numFmt numFmtId="165" formatCode="0.0%"/>
  </numFmts>
  <fonts count="13" x14ac:knownFonts="1">
    <font>
      <sz val="11"/>
      <color theme="1"/>
      <name val="Calibri"/>
      <family val="2"/>
      <charset val="1"/>
    </font>
    <font>
      <b/>
      <sz val="14"/>
      <color rgb="FF948FE3"/>
      <name val="Arial"/>
      <family val="2"/>
    </font>
    <font>
      <sz val="12"/>
      <color rgb="FF404040"/>
      <name val="Arial"/>
      <family val="2"/>
    </font>
    <font>
      <sz val="12"/>
      <color theme="1"/>
      <name val="Calibri"/>
      <family val="2"/>
      <charset val="1"/>
    </font>
    <font>
      <sz val="12"/>
      <color theme="1"/>
      <name val="Arial"/>
      <family val="2"/>
    </font>
    <font>
      <b/>
      <sz val="12"/>
      <color rgb="FF1F4E79"/>
      <name val="Arial"/>
      <family val="2"/>
    </font>
    <font>
      <sz val="12"/>
      <color rgb="FF000000"/>
      <name val="Arial"/>
      <family val="2"/>
    </font>
    <font>
      <b/>
      <sz val="12"/>
      <color theme="1"/>
      <name val="Calibri"/>
      <family val="2"/>
    </font>
    <font>
      <b/>
      <sz val="12"/>
      <color rgb="FFFFFFFF"/>
      <name val="Arial"/>
      <family val="2"/>
    </font>
    <font>
      <i/>
      <sz val="12"/>
      <color rgb="FF000000"/>
      <name val="Arial"/>
      <family val="2"/>
    </font>
    <font>
      <i/>
      <sz val="12"/>
      <color rgb="FF777777"/>
      <name val="Arial"/>
      <family val="2"/>
    </font>
    <font>
      <sz val="14"/>
      <color rgb="FF404040"/>
      <name val="Arial"/>
      <family val="2"/>
    </font>
    <font>
      <b/>
      <sz val="20"/>
      <color rgb="FF948FE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48FE3"/>
        <bgColor rgb="FF0066CC"/>
      </patternFill>
    </fill>
    <fill>
      <patternFill patternType="solid">
        <fgColor rgb="FF948FE3"/>
        <bgColor rgb="FF003366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8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164" fontId="6" fillId="0" borderId="0" xfId="0" applyNumberFormat="1" applyFont="1" applyAlignment="1">
      <alignment horizontal="right" vertical="center"/>
    </xf>
    <xf numFmtId="165" fontId="6" fillId="0" borderId="0" xfId="0" applyNumberFormat="1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0" borderId="2" xfId="0" applyFont="1" applyBorder="1"/>
    <xf numFmtId="164" fontId="4" fillId="0" borderId="2" xfId="0" applyNumberFormat="1" applyFont="1" applyBorder="1" applyAlignment="1">
      <alignment horizontal="right" vertical="center"/>
    </xf>
    <xf numFmtId="164" fontId="8" fillId="3" borderId="0" xfId="0" applyNumberFormat="1" applyFont="1" applyFill="1" applyAlignment="1">
      <alignment horizontal="right" vertical="center"/>
    </xf>
    <xf numFmtId="164" fontId="4" fillId="0" borderId="1" xfId="0" applyNumberFormat="1" applyFont="1" applyBorder="1" applyAlignment="1">
      <alignment horizontal="right" vertical="center"/>
    </xf>
    <xf numFmtId="0" fontId="6" fillId="0" borderId="0" xfId="0" applyFont="1" applyAlignment="1">
      <alignment horizontal="center" vertical="top"/>
    </xf>
    <xf numFmtId="0" fontId="5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4" fillId="0" borderId="2" xfId="0" applyFont="1" applyBorder="1" applyAlignment="1">
      <alignment horizontal="left" vertical="center"/>
    </xf>
    <xf numFmtId="0" fontId="3" fillId="0" borderId="0" xfId="0" applyFont="1" applyAlignment="1">
      <alignment horizontal="right"/>
    </xf>
    <xf numFmtId="0" fontId="1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777777"/>
      <rgbColor rgb="FF9999FF"/>
      <rgbColor rgb="FF993366"/>
      <rgbColor rgb="FFFFFFCC"/>
      <rgbColor rgb="FFDEEAF1"/>
      <rgbColor rgb="FF660066"/>
      <rgbColor rgb="FFFF8080"/>
      <rgbColor rgb="FF0066CC"/>
      <rgbColor rgb="FFD6E4F0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2E75B6"/>
      <rgbColor rgb="FF33CCCC"/>
      <rgbColor rgb="FF99CC00"/>
      <rgbColor rgb="FFFFCC00"/>
      <rgbColor rgb="FFFF9900"/>
      <rgbColor rgb="FFE26B0A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48F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218476</xdr:colOff>
      <xdr:row>28</xdr:row>
      <xdr:rowOff>136947</xdr:rowOff>
    </xdr:from>
    <xdr:to>
      <xdr:col>7</xdr:col>
      <xdr:colOff>280873</xdr:colOff>
      <xdr:row>34</xdr:row>
      <xdr:rowOff>15790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3918F6-AAC5-2E02-5917-BBDADCCC5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9414" y="6004347"/>
          <a:ext cx="1114225" cy="898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J35"/>
  <sheetViews>
    <sheetView tabSelected="1" topLeftCell="A7" zoomScale="70" zoomScaleNormal="70" workbookViewId="0">
      <selection activeCell="N25" sqref="N25"/>
    </sheetView>
  </sheetViews>
  <sheetFormatPr defaultColWidth="8.6640625" defaultRowHeight="14.4" x14ac:dyDescent="0.3"/>
  <cols>
    <col min="1" max="1" width="2" customWidth="1"/>
    <col min="2" max="2" width="5" customWidth="1"/>
    <col min="3" max="3" width="36" customWidth="1"/>
    <col min="4" max="4" width="12" customWidth="1"/>
    <col min="5" max="6" width="8" customWidth="1"/>
    <col min="7" max="7" width="15.33203125" bestFit="1" customWidth="1"/>
    <col min="8" max="8" width="9" customWidth="1"/>
    <col min="9" max="9" width="14" customWidth="1"/>
    <col min="10" max="10" width="16" customWidth="1"/>
  </cols>
  <sheetData>
    <row r="1" spans="2:10" ht="34.200000000000003" customHeight="1" x14ac:dyDescent="0.3">
      <c r="B1" s="27" t="s">
        <v>0</v>
      </c>
      <c r="C1" s="27"/>
      <c r="D1" s="27"/>
      <c r="E1" s="27"/>
      <c r="F1" s="27"/>
      <c r="G1" s="27"/>
      <c r="H1" s="27"/>
      <c r="I1" s="27"/>
      <c r="J1" s="27"/>
    </row>
    <row r="2" spans="2:10" ht="17.399999999999999" x14ac:dyDescent="0.3">
      <c r="B2" s="28" t="s">
        <v>1</v>
      </c>
      <c r="C2" s="28"/>
      <c r="D2" s="28"/>
      <c r="E2" s="28"/>
      <c r="F2" s="28"/>
      <c r="G2" s="28"/>
      <c r="H2" s="28"/>
      <c r="I2" s="28"/>
      <c r="J2" s="28"/>
    </row>
    <row r="3" spans="2:10" ht="17.399999999999999" x14ac:dyDescent="0.3">
      <c r="B3" s="28" t="s">
        <v>2</v>
      </c>
      <c r="C3" s="28"/>
      <c r="D3" s="28"/>
      <c r="E3" s="28"/>
      <c r="F3" s="28"/>
      <c r="G3" s="28"/>
      <c r="H3" s="28"/>
      <c r="I3" s="28"/>
      <c r="J3" s="28"/>
    </row>
    <row r="4" spans="2:10" ht="17.399999999999999" x14ac:dyDescent="0.3">
      <c r="B4" s="28" t="s">
        <v>3</v>
      </c>
      <c r="C4" s="28"/>
      <c r="D4" s="28"/>
      <c r="E4" s="28"/>
      <c r="F4" s="28"/>
      <c r="G4" s="28"/>
      <c r="H4" s="28"/>
      <c r="I4" s="28"/>
      <c r="J4" s="28"/>
    </row>
    <row r="5" spans="2:10" ht="12.75" customHeight="1" x14ac:dyDescent="0.3">
      <c r="B5" s="1"/>
      <c r="C5" s="1"/>
      <c r="D5" s="1"/>
      <c r="E5" s="1"/>
      <c r="F5" s="1"/>
      <c r="G5" s="1"/>
      <c r="H5" s="1"/>
      <c r="I5" s="1"/>
      <c r="J5" s="1"/>
    </row>
    <row r="6" spans="2:10" ht="15.6" x14ac:dyDescent="0.3">
      <c r="B6" s="2"/>
      <c r="C6" s="2"/>
      <c r="D6" s="2"/>
      <c r="E6" s="2"/>
      <c r="F6" s="2"/>
      <c r="G6" s="2"/>
      <c r="H6" s="2"/>
      <c r="I6" s="2"/>
      <c r="J6" s="2"/>
    </row>
    <row r="7" spans="2:10" ht="32.4" customHeight="1" x14ac:dyDescent="0.3">
      <c r="B7" s="25" t="s">
        <v>33</v>
      </c>
      <c r="C7" s="25"/>
      <c r="D7" s="25"/>
      <c r="E7" s="25"/>
      <c r="F7" s="25"/>
      <c r="G7" s="25"/>
      <c r="H7" s="25"/>
      <c r="I7" s="25"/>
      <c r="J7" s="25"/>
    </row>
    <row r="8" spans="2:10" ht="15.6" x14ac:dyDescent="0.3">
      <c r="B8" s="26" t="s">
        <v>4</v>
      </c>
      <c r="C8" s="17"/>
      <c r="D8" s="17"/>
      <c r="E8" s="17"/>
      <c r="F8" s="17"/>
      <c r="G8" s="3"/>
      <c r="H8" s="3"/>
      <c r="I8" s="3"/>
      <c r="J8" s="4" t="s">
        <v>32</v>
      </c>
    </row>
    <row r="9" spans="2:10" ht="15.6" x14ac:dyDescent="0.3">
      <c r="B9" s="19" t="s">
        <v>39</v>
      </c>
      <c r="C9" s="19"/>
      <c r="D9" s="19"/>
      <c r="E9" s="19"/>
      <c r="F9" s="19"/>
      <c r="G9" s="5"/>
      <c r="H9" s="3"/>
      <c r="I9" s="24" t="s">
        <v>34</v>
      </c>
      <c r="J9" s="24"/>
    </row>
    <row r="10" spans="2:10" ht="15.6" x14ac:dyDescent="0.3">
      <c r="B10" s="19" t="s">
        <v>40</v>
      </c>
      <c r="C10" s="19"/>
      <c r="D10" s="19"/>
      <c r="E10" s="19"/>
      <c r="F10" s="19"/>
      <c r="G10" s="3"/>
      <c r="H10" s="3"/>
      <c r="I10" s="24" t="s">
        <v>35</v>
      </c>
      <c r="J10" s="24"/>
    </row>
    <row r="11" spans="2:10" ht="15.6" x14ac:dyDescent="0.3">
      <c r="B11" s="19" t="s">
        <v>41</v>
      </c>
      <c r="C11" s="19"/>
      <c r="D11" s="19"/>
      <c r="E11" s="19"/>
      <c r="F11" s="19"/>
      <c r="G11" s="3"/>
      <c r="H11" s="3"/>
      <c r="I11" s="3"/>
      <c r="J11" s="3"/>
    </row>
    <row r="12" spans="2:10" ht="19.8" customHeight="1" x14ac:dyDescent="0.3">
      <c r="B12" s="2"/>
      <c r="C12" s="2"/>
      <c r="D12" s="2"/>
      <c r="E12" s="2"/>
      <c r="F12" s="2"/>
      <c r="G12" s="2"/>
      <c r="H12" s="2"/>
      <c r="I12" s="2"/>
      <c r="J12" s="2"/>
    </row>
    <row r="13" spans="2:10" ht="19.5" customHeight="1" x14ac:dyDescent="0.3">
      <c r="B13" s="6" t="s">
        <v>5</v>
      </c>
      <c r="C13" s="6" t="s">
        <v>6</v>
      </c>
      <c r="D13" s="6" t="s">
        <v>7</v>
      </c>
      <c r="E13" s="6" t="s">
        <v>8</v>
      </c>
      <c r="F13" s="6" t="s">
        <v>9</v>
      </c>
      <c r="G13" s="6" t="s">
        <v>10</v>
      </c>
      <c r="H13" s="6" t="s">
        <v>11</v>
      </c>
      <c r="I13" s="6" t="s">
        <v>12</v>
      </c>
      <c r="J13" s="6" t="s">
        <v>13</v>
      </c>
    </row>
    <row r="14" spans="2:10" ht="15" x14ac:dyDescent="0.3">
      <c r="B14" s="16">
        <v>1</v>
      </c>
      <c r="C14" s="8" t="s">
        <v>36</v>
      </c>
      <c r="D14" s="7"/>
      <c r="E14" s="7">
        <v>1</v>
      </c>
      <c r="F14" s="7" t="s">
        <v>14</v>
      </c>
      <c r="G14" s="9">
        <f>J14 / (1 + H14)</f>
        <v>95238.095238095237</v>
      </c>
      <c r="H14" s="10">
        <v>0.05</v>
      </c>
      <c r="I14" s="9">
        <f>J14 - G14</f>
        <v>4761.9047619047633</v>
      </c>
      <c r="J14" s="9">
        <v>100000</v>
      </c>
    </row>
    <row r="15" spans="2:10" ht="15" x14ac:dyDescent="0.3">
      <c r="B15" s="16">
        <v>2</v>
      </c>
      <c r="C15" s="8" t="s">
        <v>37</v>
      </c>
      <c r="D15" s="7"/>
      <c r="E15" s="7">
        <v>1</v>
      </c>
      <c r="F15" s="7" t="s">
        <v>14</v>
      </c>
      <c r="G15" s="9">
        <f t="shared" ref="G15:G17" si="0">J15 / (1 + H15)</f>
        <v>595238.09523809527</v>
      </c>
      <c r="H15" s="10">
        <v>0.05</v>
      </c>
      <c r="I15" s="9">
        <f t="shared" ref="I15:I17" si="1">J15 - G15</f>
        <v>29761.904761904734</v>
      </c>
      <c r="J15" s="9">
        <v>625000</v>
      </c>
    </row>
    <row r="16" spans="2:10" ht="60" x14ac:dyDescent="0.3">
      <c r="B16" s="16">
        <v>3</v>
      </c>
      <c r="C16" s="8" t="s">
        <v>38</v>
      </c>
      <c r="D16" s="7"/>
      <c r="E16" s="7">
        <v>1</v>
      </c>
      <c r="F16" s="7" t="s">
        <v>14</v>
      </c>
      <c r="G16" s="9">
        <f t="shared" si="0"/>
        <v>10169.491525423729</v>
      </c>
      <c r="H16" s="10">
        <v>0.18</v>
      </c>
      <c r="I16" s="9">
        <f t="shared" si="1"/>
        <v>1830.5084745762706</v>
      </c>
      <c r="J16" s="9">
        <v>12000</v>
      </c>
    </row>
    <row r="17" spans="2:10" ht="18.600000000000001" customHeight="1" x14ac:dyDescent="0.3">
      <c r="B17" s="16">
        <v>4</v>
      </c>
      <c r="C17" s="8" t="s">
        <v>15</v>
      </c>
      <c r="D17" s="7"/>
      <c r="E17" s="7">
        <v>1</v>
      </c>
      <c r="F17" s="7" t="s">
        <v>14</v>
      </c>
      <c r="G17" s="9">
        <f t="shared" si="0"/>
        <v>11016.949152542373</v>
      </c>
      <c r="H17" s="10">
        <v>0.18</v>
      </c>
      <c r="I17" s="9">
        <f t="shared" si="1"/>
        <v>1983.0508474576272</v>
      </c>
      <c r="J17" s="9">
        <v>13000</v>
      </c>
    </row>
    <row r="18" spans="2:10" ht="15.6" x14ac:dyDescent="0.3">
      <c r="B18" s="23" t="s">
        <v>16</v>
      </c>
      <c r="C18" s="23"/>
      <c r="D18" s="23"/>
      <c r="E18" s="11">
        <f>SUM(E14:E17)</f>
        <v>4</v>
      </c>
      <c r="F18" s="12"/>
      <c r="G18" s="12"/>
      <c r="H18" s="12"/>
      <c r="I18" s="13">
        <f>SUM(I14:I17)</f>
        <v>38337.368845843397</v>
      </c>
      <c r="J18" s="13">
        <f>SUM(J14:J17)</f>
        <v>750000</v>
      </c>
    </row>
    <row r="19" spans="2:10" ht="15.6" x14ac:dyDescent="0.3">
      <c r="B19" s="2"/>
      <c r="C19" s="2"/>
      <c r="D19" s="2"/>
      <c r="E19" s="2"/>
      <c r="F19" s="2"/>
      <c r="G19" s="2"/>
      <c r="H19" s="2"/>
      <c r="I19" s="2"/>
      <c r="J19" s="2"/>
    </row>
    <row r="20" spans="2:10" ht="15.75" customHeight="1" x14ac:dyDescent="0.3">
      <c r="B20" s="17" t="s">
        <v>17</v>
      </c>
      <c r="C20" s="17"/>
      <c r="D20" s="17"/>
      <c r="E20" s="17"/>
      <c r="F20" s="17"/>
      <c r="G20" s="19" t="s">
        <v>18</v>
      </c>
      <c r="H20" s="19"/>
      <c r="I20" s="19"/>
      <c r="J20" s="9">
        <f>J18-I18</f>
        <v>711662.63115415664</v>
      </c>
    </row>
    <row r="21" spans="2:10" ht="15.75" customHeight="1" x14ac:dyDescent="0.3">
      <c r="B21" s="22" t="str" cm="1">
        <f t="array" ref="B21">SpellNumberIndian(J25)</f>
        <v>Seven Lakh Fifty Thousand Only</v>
      </c>
      <c r="C21" s="22"/>
      <c r="D21" s="22"/>
      <c r="E21" s="22"/>
      <c r="F21" s="22"/>
      <c r="G21" s="19" t="s">
        <v>19</v>
      </c>
      <c r="H21" s="19"/>
      <c r="I21" s="19"/>
      <c r="J21" s="9">
        <f>SUMPRODUCT((H14:H17=0.18)*E14:E17*G14:G17)*0.09</f>
        <v>1906.7796610169489</v>
      </c>
    </row>
    <row r="22" spans="2:10" ht="15.75" customHeight="1" x14ac:dyDescent="0.3">
      <c r="B22" s="2"/>
      <c r="C22" s="2"/>
      <c r="D22" s="2"/>
      <c r="E22" s="2"/>
      <c r="F22" s="2"/>
      <c r="G22" s="19" t="s">
        <v>20</v>
      </c>
      <c r="H22" s="19"/>
      <c r="I22" s="19"/>
      <c r="J22" s="9">
        <f>SUMPRODUCT((H14:H17=0.18)*E14:E17*G14:G17)*0.09</f>
        <v>1906.7796610169489</v>
      </c>
    </row>
    <row r="23" spans="2:10" ht="15.75" customHeight="1" x14ac:dyDescent="0.3">
      <c r="B23" s="17"/>
      <c r="C23" s="17"/>
      <c r="D23" s="17"/>
      <c r="E23" s="17"/>
      <c r="F23" s="17"/>
      <c r="G23" s="19" t="s">
        <v>21</v>
      </c>
      <c r="H23" s="19"/>
      <c r="I23" s="19"/>
      <c r="J23" s="9">
        <f>SUMPRODUCT((H14:H17=0.05)*E14:E17*G14:G17)*0.025</f>
        <v>17261.904761904763</v>
      </c>
    </row>
    <row r="24" spans="2:10" ht="15.75" customHeight="1" x14ac:dyDescent="0.3">
      <c r="B24" s="19" t="s">
        <v>22</v>
      </c>
      <c r="C24" s="19"/>
      <c r="D24" s="19"/>
      <c r="E24" s="19"/>
      <c r="F24" s="19"/>
      <c r="G24" s="19" t="s">
        <v>23</v>
      </c>
      <c r="H24" s="19"/>
      <c r="I24" s="19"/>
      <c r="J24" s="9">
        <f>SUMPRODUCT((H14:H17=0.05)*E14:E17*G14:G17)*0.025</f>
        <v>17261.904761904763</v>
      </c>
    </row>
    <row r="25" spans="2:10" ht="18" customHeight="1" x14ac:dyDescent="0.3">
      <c r="B25" s="2"/>
      <c r="C25" s="2"/>
      <c r="D25" s="2"/>
      <c r="E25" s="2"/>
      <c r="F25" s="2"/>
      <c r="G25" s="20" t="s">
        <v>16</v>
      </c>
      <c r="H25" s="20"/>
      <c r="I25" s="20"/>
      <c r="J25" s="14">
        <f>J18</f>
        <v>750000</v>
      </c>
    </row>
    <row r="26" spans="2:10" ht="15.75" customHeight="1" x14ac:dyDescent="0.3">
      <c r="B26" s="2"/>
      <c r="C26" s="2"/>
      <c r="D26" s="2"/>
      <c r="E26" s="2"/>
      <c r="F26" s="2"/>
      <c r="G26" s="19" t="s">
        <v>24</v>
      </c>
      <c r="H26" s="19"/>
      <c r="I26" s="19"/>
      <c r="J26" s="9">
        <v>0</v>
      </c>
    </row>
    <row r="27" spans="2:10" ht="18" customHeight="1" x14ac:dyDescent="0.3">
      <c r="B27" s="2"/>
      <c r="C27" s="2"/>
      <c r="D27" s="2"/>
      <c r="E27" s="2"/>
      <c r="F27" s="2"/>
      <c r="G27" s="21" t="s">
        <v>25</v>
      </c>
      <c r="H27" s="21"/>
      <c r="I27" s="21"/>
      <c r="J27" s="15">
        <f>J25-J26</f>
        <v>750000</v>
      </c>
    </row>
    <row r="28" spans="2:10" ht="48.6" customHeight="1" x14ac:dyDescent="0.3">
      <c r="B28" s="2"/>
      <c r="C28" s="2"/>
      <c r="D28" s="2"/>
      <c r="E28" s="2"/>
      <c r="F28" s="2"/>
      <c r="G28" s="2"/>
      <c r="H28" s="2"/>
      <c r="I28" s="2"/>
      <c r="J28" s="2"/>
    </row>
    <row r="29" spans="2:10" ht="13.5" customHeight="1" x14ac:dyDescent="0.3">
      <c r="B29" s="17" t="s">
        <v>26</v>
      </c>
      <c r="C29" s="17"/>
      <c r="D29" s="17"/>
      <c r="E29" s="17"/>
      <c r="F29" s="17"/>
      <c r="G29" s="18" t="s">
        <v>31</v>
      </c>
      <c r="H29" s="18"/>
      <c r="I29" s="18"/>
      <c r="J29" s="18"/>
    </row>
    <row r="30" spans="2:10" ht="13.5" customHeight="1" x14ac:dyDescent="0.3">
      <c r="B30" s="19" t="s">
        <v>27</v>
      </c>
      <c r="C30" s="19"/>
      <c r="D30" s="19"/>
      <c r="E30" s="19"/>
      <c r="F30" s="19"/>
      <c r="G30" s="18"/>
      <c r="H30" s="18"/>
      <c r="I30" s="18"/>
      <c r="J30" s="18"/>
    </row>
    <row r="31" spans="2:10" ht="13.5" customHeight="1" x14ac:dyDescent="0.3">
      <c r="B31" s="19" t="s">
        <v>28</v>
      </c>
      <c r="C31" s="19"/>
      <c r="D31" s="19"/>
      <c r="E31" s="19"/>
      <c r="F31" s="19"/>
      <c r="G31" s="18"/>
      <c r="H31" s="18"/>
      <c r="I31" s="18"/>
      <c r="J31" s="18"/>
    </row>
    <row r="32" spans="2:10" ht="13.5" customHeight="1" x14ac:dyDescent="0.3">
      <c r="B32" s="19" t="s">
        <v>29</v>
      </c>
      <c r="C32" s="19"/>
      <c r="D32" s="19"/>
      <c r="E32" s="19"/>
      <c r="F32" s="19"/>
      <c r="G32" s="18"/>
      <c r="H32" s="18"/>
      <c r="I32" s="18"/>
      <c r="J32" s="18"/>
    </row>
    <row r="33" spans="2:10" ht="13.5" customHeight="1" x14ac:dyDescent="0.3">
      <c r="B33" s="19" t="s">
        <v>30</v>
      </c>
      <c r="C33" s="19"/>
      <c r="D33" s="19"/>
      <c r="E33" s="19"/>
      <c r="F33" s="19"/>
      <c r="G33" s="18"/>
      <c r="H33" s="18"/>
      <c r="I33" s="18"/>
      <c r="J33" s="18"/>
    </row>
    <row r="34" spans="2:10" ht="13.5" customHeight="1" x14ac:dyDescent="0.3">
      <c r="B34" s="2"/>
      <c r="C34" s="2"/>
      <c r="D34" s="2"/>
      <c r="E34" s="2"/>
      <c r="F34" s="2"/>
      <c r="G34" s="18"/>
      <c r="H34" s="18"/>
      <c r="I34" s="18"/>
      <c r="J34" s="18"/>
    </row>
    <row r="35" spans="2:10" ht="13.5" customHeight="1" x14ac:dyDescent="0.3">
      <c r="B35" s="2"/>
      <c r="C35" s="2"/>
      <c r="D35" s="2"/>
      <c r="E35" s="2"/>
      <c r="F35" s="2"/>
      <c r="G35" s="18"/>
      <c r="H35" s="18"/>
      <c r="I35" s="18"/>
      <c r="J35" s="18"/>
    </row>
  </sheetData>
  <mergeCells count="30">
    <mergeCell ref="B7:J7"/>
    <mergeCell ref="B8:F8"/>
    <mergeCell ref="B9:F9"/>
    <mergeCell ref="B1:J1"/>
    <mergeCell ref="B2:J2"/>
    <mergeCell ref="B3:J3"/>
    <mergeCell ref="B4:J4"/>
    <mergeCell ref="I9:J9"/>
    <mergeCell ref="B10:F10"/>
    <mergeCell ref="B11:F11"/>
    <mergeCell ref="B18:D18"/>
    <mergeCell ref="B20:F20"/>
    <mergeCell ref="G20:I20"/>
    <mergeCell ref="I10:J10"/>
    <mergeCell ref="B21:F21"/>
    <mergeCell ref="G21:I21"/>
    <mergeCell ref="G22:I22"/>
    <mergeCell ref="B23:F23"/>
    <mergeCell ref="G23:I23"/>
    <mergeCell ref="B24:F24"/>
    <mergeCell ref="G24:I24"/>
    <mergeCell ref="G25:I25"/>
    <mergeCell ref="G26:I26"/>
    <mergeCell ref="G27:I27"/>
    <mergeCell ref="B29:F29"/>
    <mergeCell ref="G29:J35"/>
    <mergeCell ref="B30:F30"/>
    <mergeCell ref="B31:F31"/>
    <mergeCell ref="B32:F32"/>
    <mergeCell ref="B33:F33"/>
  </mergeCells>
  <pageMargins left="0.23622047244094491" right="0.23622047244094491" top="0.74803149606299213" bottom="0.74803149606299213" header="0.31496062992125984" footer="0.31496062992125984"/>
  <pageSetup paperSize="9" scale="8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Tax Invoice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Amar Vishwakarma</cp:lastModifiedBy>
  <cp:revision>0</cp:revision>
  <cp:lastPrinted>2026-03-25T16:22:30Z</cp:lastPrinted>
  <dcterms:created xsi:type="dcterms:W3CDTF">2026-03-25T12:13:30Z</dcterms:created>
  <dcterms:modified xsi:type="dcterms:W3CDTF">2026-04-18T10:44:56Z</dcterms:modified>
  <dc:language>en-US</dc:language>
</cp:coreProperties>
</file>