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rr\OneDrive\Desktop\Gyanti-Data-Management\template\"/>
    </mc:Choice>
  </mc:AlternateContent>
  <xr:revisionPtr revIDLastSave="0" documentId="13_ncr:1_{CE7B1A42-19FF-4E81-B46C-9CBF946AA13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x Invoi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1" l="1"/>
  <c r="I16" i="1" s="1"/>
  <c r="G14" i="1"/>
  <c r="I14" i="1" s="1"/>
  <c r="G15" i="1"/>
  <c r="I15" i="1" s="1"/>
  <c r="G13" i="1"/>
  <c r="I13" i="1" s="1"/>
  <c r="E17" i="1"/>
  <c r="J17" i="1"/>
  <c r="J24" i="1" s="1"/>
  <c r="J23" i="1" l="1"/>
  <c r="J22" i="1"/>
  <c r="J21" i="1"/>
  <c r="J20" i="1"/>
  <c r="I17" i="1"/>
  <c r="J19" i="1" s="1"/>
</calcChain>
</file>

<file path=xl/sharedStrings.xml><?xml version="1.0" encoding="utf-8"?>
<sst xmlns="http://schemas.openxmlformats.org/spreadsheetml/2006/main" count="47" uniqueCount="44">
  <si>
    <t>Gyanti Enterprises</t>
  </si>
  <si>
    <t>534, Rajrooppur, Allahabad</t>
  </si>
  <si>
    <t>Phone no.: 9076640155    |    Email: sanjay.cicconsultant@gmail.com</t>
  </si>
  <si>
    <t>GSTIN: 09BGXPV1663G1ZL    |    State: 09-Uttar Pradesh</t>
  </si>
  <si>
    <t>Bill To</t>
  </si>
  <si>
    <t>#</t>
  </si>
  <si>
    <t>Item Name</t>
  </si>
  <si>
    <t>HSN/SAC</t>
  </si>
  <si>
    <t>Qty</t>
  </si>
  <si>
    <t>Unit</t>
  </si>
  <si>
    <t>Price/Unit</t>
  </si>
  <si>
    <t>GST %</t>
  </si>
  <si>
    <t>GST Amt</t>
  </si>
  <si>
    <t>Amount</t>
  </si>
  <si>
    <t>Nos</t>
  </si>
  <si>
    <t>Total</t>
  </si>
  <si>
    <t>Invoice Amount In Words</t>
  </si>
  <si>
    <t>Sub Total</t>
  </si>
  <si>
    <t>SGST @ 9.0%</t>
  </si>
  <si>
    <t>CGST @ 9.0%</t>
  </si>
  <si>
    <t>SGST @ 2.5%</t>
  </si>
  <si>
    <t>Thank you for doing business with us.</t>
  </si>
  <si>
    <t>CGST @ 2.5%</t>
  </si>
  <si>
    <t>Pay To:</t>
  </si>
  <si>
    <t>Bank Name: HDFC Bank, Jhalwa Prayagraj</t>
  </si>
  <si>
    <t>Bank Account No.: 50200103168717</t>
  </si>
  <si>
    <t>Bank IFSC code: HDFC0008885</t>
  </si>
  <si>
    <t>Account Holder's Name: Gyanti Enterprises</t>
  </si>
  <si>
    <t xml:space="preserve">
Authorized Signatory</t>
  </si>
  <si>
    <t>Invoice Details</t>
  </si>
  <si>
    <t>INVOICE</t>
  </si>
  <si>
    <t>Solar Module Mounting Structure, ACDB, DCDB, PVC Pipe, Nut Bolt, Z&amp;U Clamp, Earthing Kit, DC Wair, AC Wair</t>
  </si>
  <si>
    <t>Rupees One lakh Eighty Thousand Only</t>
  </si>
  <si>
    <t>Invoice No.: {{invoice_no}}</t>
  </si>
  <si>
    <t>Date.: {{date}}</t>
  </si>
  <si>
    <t>Name.: {{customer_name}}</t>
  </si>
  <si>
    <t>Address.: {{customer_address}}</t>
  </si>
  <si>
    <t>{{panel_total_cost}}</t>
  </si>
  <si>
    <t>SPGS (SOLAR POWER GENERATING SYST {{panel_watt}} WATT {{panel_company}} SOLAR {{panel_quantity}}PS) (25 YEARS GUARANTEE)</t>
  </si>
  <si>
    <t>ONGRID INVERTER {{inverter_company}} {{inverter_watt}}KW (8 YEARS WARRENTY)</t>
  </si>
  <si>
    <t>{{inverter_total_cost}}</t>
  </si>
  <si>
    <t>{{structure_total_cost}}</t>
  </si>
  <si>
    <t>Installation Charge</t>
  </si>
  <si>
    <t>{{installation_total_cost}}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</si>
</sst>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948FE3"/>
      <name val="Arial"/>
      <family val="2"/>
    </font>
    <font>
      <sz val="12"/>
      <color rgb="FF40404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Arial"/>
      <family val="2"/>
    </font>
    <font>
      <b/>
      <sz val="12"/>
      <color rgb="FF1F4E79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</font>
    <font>
      <b/>
      <sz val="12"/>
      <color rgb="FFFFFFFF"/>
      <name val="Arial"/>
      <family val="2"/>
    </font>
    <font>
      <i/>
      <sz val="12"/>
      <color rgb="FF000000"/>
      <name val="Arial"/>
      <family val="2"/>
    </font>
    <font>
      <i/>
      <sz val="12"/>
      <color rgb="FF777777"/>
      <name val="Arial"/>
      <family val="2"/>
    </font>
    <font>
      <sz val="14"/>
      <color rgb="FF404040"/>
      <name val="Arial"/>
      <family val="2"/>
    </font>
    <font>
      <b/>
      <sz val="20"/>
      <color rgb="FF948FE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48FE3"/>
        <bgColor rgb="FF0066CC"/>
      </patternFill>
    </fill>
    <fill>
      <patternFill patternType="solid">
        <fgColor rgb="FF948FE3"/>
        <bgColor rgb="FF003366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164" fontId="4" fillId="0" borderId="1" xfId="0" applyNumberFormat="1" applyFont="1" applyBorder="1" applyAlignment="1">
      <alignment horizontal="right" vertical="center"/>
    </xf>
    <xf numFmtId="164" fontId="8" fillId="3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48F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218476</xdr:colOff>
      <xdr:row>27</xdr:row>
      <xdr:rowOff>136947</xdr:rowOff>
    </xdr:from>
    <xdr:to>
      <xdr:col>7</xdr:col>
      <xdr:colOff>280873</xdr:colOff>
      <xdr:row>33</xdr:row>
      <xdr:rowOff>15791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3918F6-AAC5-2E02-5917-BBDADCCC5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9414" y="6004347"/>
          <a:ext cx="1114225" cy="898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J34"/>
  <sheetViews>
    <sheetView tabSelected="1" zoomScale="84" zoomScaleNormal="70" workbookViewId="0">
      <selection activeCell="G6" sqref="G6"/>
    </sheetView>
  </sheetViews>
  <sheetFormatPr defaultColWidth="8.7109375" defaultRowHeight="15" x14ac:dyDescent="0.25"/>
  <cols>
    <col min="1" max="1" width="2" customWidth="1"/>
    <col min="2" max="2" width="5" customWidth="1"/>
    <col min="3" max="3" width="36" customWidth="1"/>
    <col min="4" max="4" width="12" customWidth="1"/>
    <col min="5" max="6" width="8" customWidth="1"/>
    <col min="7" max="7" width="15.28515625" bestFit="1" customWidth="1"/>
    <col min="8" max="8" width="9" customWidth="1"/>
    <col min="9" max="9" width="14" customWidth="1"/>
    <col min="10" max="10" width="16" customWidth="1"/>
  </cols>
  <sheetData>
    <row r="1" spans="2:10" ht="34.15" customHeight="1" x14ac:dyDescent="0.25">
      <c r="B1" s="17" t="s">
        <v>0</v>
      </c>
      <c r="C1" s="17"/>
      <c r="D1" s="17"/>
      <c r="E1" s="17"/>
      <c r="F1" s="17"/>
      <c r="G1" s="17"/>
      <c r="H1" s="17"/>
      <c r="I1" s="17"/>
      <c r="J1" s="17"/>
    </row>
    <row r="2" spans="2:10" ht="18" x14ac:dyDescent="0.25">
      <c r="B2" s="18" t="s">
        <v>1</v>
      </c>
      <c r="C2" s="18"/>
      <c r="D2" s="18"/>
      <c r="E2" s="18"/>
      <c r="F2" s="18"/>
      <c r="G2" s="18"/>
      <c r="H2" s="18"/>
      <c r="I2" s="18"/>
      <c r="J2" s="18"/>
    </row>
    <row r="3" spans="2:10" ht="18" x14ac:dyDescent="0.25">
      <c r="B3" s="18" t="s">
        <v>2</v>
      </c>
      <c r="C3" s="18"/>
      <c r="D3" s="18"/>
      <c r="E3" s="18"/>
      <c r="F3" s="18"/>
      <c r="G3" s="18"/>
      <c r="H3" s="18"/>
      <c r="I3" s="18"/>
      <c r="J3" s="18"/>
    </row>
    <row r="4" spans="2:10" ht="18" x14ac:dyDescent="0.25">
      <c r="B4" s="18" t="s">
        <v>3</v>
      </c>
      <c r="C4" s="18"/>
      <c r="D4" s="18"/>
      <c r="E4" s="18"/>
      <c r="F4" s="18"/>
      <c r="G4" s="18"/>
      <c r="H4" s="18"/>
      <c r="I4" s="18"/>
      <c r="J4" s="18"/>
    </row>
    <row r="5" spans="2:10" ht="12.75" customHeight="1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ht="15.75" x14ac:dyDescent="0.25">
      <c r="B6" s="2"/>
      <c r="C6" s="2"/>
      <c r="D6" s="2"/>
      <c r="E6" s="2"/>
      <c r="F6" s="2"/>
      <c r="G6" s="2"/>
      <c r="H6" s="2"/>
      <c r="I6" s="2"/>
      <c r="J6" s="2"/>
    </row>
    <row r="7" spans="2:10" ht="32.450000000000003" customHeight="1" x14ac:dyDescent="0.25">
      <c r="B7" s="23" t="s">
        <v>30</v>
      </c>
      <c r="C7" s="23"/>
      <c r="D7" s="23"/>
      <c r="E7" s="23"/>
      <c r="F7" s="23"/>
      <c r="G7" s="23"/>
      <c r="H7" s="23"/>
      <c r="I7" s="23"/>
      <c r="J7" s="23"/>
    </row>
    <row r="8" spans="2:10" ht="15.75" x14ac:dyDescent="0.25">
      <c r="B8" s="24" t="s">
        <v>4</v>
      </c>
      <c r="C8" s="21"/>
      <c r="D8" s="21"/>
      <c r="E8" s="21"/>
      <c r="F8" s="21"/>
      <c r="G8" s="3"/>
      <c r="H8" s="3"/>
      <c r="I8" s="3"/>
      <c r="J8" s="4" t="s">
        <v>29</v>
      </c>
    </row>
    <row r="9" spans="2:10" ht="15.75" x14ac:dyDescent="0.25">
      <c r="B9" s="22" t="s">
        <v>35</v>
      </c>
      <c r="C9" s="22"/>
      <c r="D9" s="22"/>
      <c r="E9" s="22"/>
      <c r="F9" s="22"/>
      <c r="G9" s="5"/>
      <c r="H9" s="3"/>
      <c r="I9" s="19" t="s">
        <v>33</v>
      </c>
      <c r="J9" s="19"/>
    </row>
    <row r="10" spans="2:10" ht="15.75" x14ac:dyDescent="0.25">
      <c r="B10" s="22" t="s">
        <v>36</v>
      </c>
      <c r="C10" s="22"/>
      <c r="D10" s="22"/>
      <c r="E10" s="22"/>
      <c r="F10" s="22"/>
      <c r="G10" s="22"/>
      <c r="H10" s="22"/>
      <c r="I10" s="19" t="s">
        <v>34</v>
      </c>
      <c r="J10" s="19"/>
    </row>
    <row r="11" spans="2:10" ht="19.899999999999999" customHeight="1" x14ac:dyDescent="0.25">
      <c r="B11" s="2"/>
      <c r="C11" s="2"/>
      <c r="D11" s="2"/>
      <c r="E11" s="2"/>
      <c r="F11" s="2"/>
      <c r="G11" s="2"/>
      <c r="H11" s="2"/>
      <c r="I11" s="2"/>
      <c r="J11" s="2"/>
    </row>
    <row r="12" spans="2:10" ht="19.5" customHeight="1" x14ac:dyDescent="0.25"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</row>
    <row r="13" spans="2:10" ht="90" x14ac:dyDescent="0.25">
      <c r="B13" s="15">
        <v>1</v>
      </c>
      <c r="C13" s="8" t="s">
        <v>38</v>
      </c>
      <c r="D13" s="7">
        <v>85414300</v>
      </c>
      <c r="E13" s="7">
        <v>1</v>
      </c>
      <c r="F13" s="7" t="s">
        <v>14</v>
      </c>
      <c r="G13" s="9" t="e">
        <f>J13 / (1 + H13)</f>
        <v>#VALUE!</v>
      </c>
      <c r="H13" s="10">
        <v>0.05</v>
      </c>
      <c r="I13" s="9" t="e">
        <f>J13 - G13</f>
        <v>#VALUE!</v>
      </c>
      <c r="J13" s="9" t="s">
        <v>37</v>
      </c>
    </row>
    <row r="14" spans="2:10" ht="60" x14ac:dyDescent="0.25">
      <c r="B14" s="15">
        <v>2</v>
      </c>
      <c r="C14" s="8" t="s">
        <v>39</v>
      </c>
      <c r="D14" s="7">
        <v>85044090</v>
      </c>
      <c r="E14" s="7">
        <v>1</v>
      </c>
      <c r="F14" s="7" t="s">
        <v>14</v>
      </c>
      <c r="G14" s="9" t="e">
        <f t="shared" ref="G14:G15" si="0">J14 / (1 + H14)</f>
        <v>#VALUE!</v>
      </c>
      <c r="H14" s="10">
        <v>0.05</v>
      </c>
      <c r="I14" s="9" t="e">
        <f t="shared" ref="I14:I15" si="1">J14 - G14</f>
        <v>#VALUE!</v>
      </c>
      <c r="J14" s="9" t="s">
        <v>40</v>
      </c>
    </row>
    <row r="15" spans="2:10" ht="60" x14ac:dyDescent="0.25">
      <c r="B15" s="15">
        <v>3</v>
      </c>
      <c r="C15" s="8" t="s">
        <v>31</v>
      </c>
      <c r="D15" s="7">
        <v>73089030</v>
      </c>
      <c r="E15" s="7">
        <v>1</v>
      </c>
      <c r="F15" s="7" t="s">
        <v>14</v>
      </c>
      <c r="G15" s="9" t="e">
        <f t="shared" si="0"/>
        <v>#VALUE!</v>
      </c>
      <c r="H15" s="10">
        <v>0.18</v>
      </c>
      <c r="I15" s="9" t="e">
        <f t="shared" si="1"/>
        <v>#VALUE!</v>
      </c>
      <c r="J15" s="9" t="s">
        <v>41</v>
      </c>
    </row>
    <row r="16" spans="2:10" x14ac:dyDescent="0.25">
      <c r="B16" s="15">
        <v>4</v>
      </c>
      <c r="C16" s="8" t="s">
        <v>42</v>
      </c>
      <c r="D16" s="7"/>
      <c r="E16" s="7"/>
      <c r="F16" s="7"/>
      <c r="G16" s="9" t="e">
        <f t="shared" ref="G16" si="2">J16 / (1 + H16)</f>
        <v>#VALUE!</v>
      </c>
      <c r="H16" s="10">
        <v>0.18</v>
      </c>
      <c r="I16" s="9" t="e">
        <f t="shared" ref="I16" si="3">J16 - G16</f>
        <v>#VALUE!</v>
      </c>
      <c r="J16" s="9" t="s">
        <v>43</v>
      </c>
    </row>
    <row r="17" spans="2:10" ht="15.75" x14ac:dyDescent="0.25">
      <c r="B17" s="20" t="s">
        <v>15</v>
      </c>
      <c r="C17" s="20"/>
      <c r="D17" s="20"/>
      <c r="E17" s="11">
        <f>SUM(E13:E15)</f>
        <v>3</v>
      </c>
      <c r="F17" s="12"/>
      <c r="G17" s="12"/>
      <c r="H17" s="12"/>
      <c r="I17" s="13" t="e">
        <f>SUM(I13:I15)</f>
        <v>#VALUE!</v>
      </c>
      <c r="J17" s="13">
        <f>SUM(J13:J15)</f>
        <v>0</v>
      </c>
    </row>
    <row r="18" spans="2:10" ht="15.75" x14ac:dyDescent="0.25">
      <c r="B18" s="2"/>
      <c r="C18" s="2"/>
      <c r="D18" s="2"/>
      <c r="E18" s="2"/>
      <c r="F18" s="2"/>
      <c r="G18" s="2"/>
      <c r="H18" s="2"/>
      <c r="I18" s="2"/>
      <c r="J18" s="2"/>
    </row>
    <row r="19" spans="2:10" ht="15.75" customHeight="1" x14ac:dyDescent="0.25">
      <c r="B19" s="21" t="s">
        <v>16</v>
      </c>
      <c r="C19" s="21"/>
      <c r="D19" s="21"/>
      <c r="E19" s="21"/>
      <c r="F19" s="21"/>
      <c r="G19" s="22" t="s">
        <v>17</v>
      </c>
      <c r="H19" s="22"/>
      <c r="I19" s="22"/>
      <c r="J19" s="9" t="e">
        <f>J17-I17</f>
        <v>#VALUE!</v>
      </c>
    </row>
    <row r="20" spans="2:10" ht="15.75" customHeight="1" x14ac:dyDescent="0.25">
      <c r="B20" s="25" t="s">
        <v>32</v>
      </c>
      <c r="C20" s="25"/>
      <c r="D20" s="25"/>
      <c r="E20" s="25"/>
      <c r="F20" s="25"/>
      <c r="G20" s="22" t="s">
        <v>18</v>
      </c>
      <c r="H20" s="22"/>
      <c r="I20" s="22"/>
      <c r="J20" s="9" t="e">
        <f>SUMPRODUCT((H13:H15=0.18)*E13:E15*G13:G15)*0.09</f>
        <v>#VALUE!</v>
      </c>
    </row>
    <row r="21" spans="2:10" ht="15.75" customHeight="1" x14ac:dyDescent="0.25">
      <c r="B21" s="2"/>
      <c r="C21" s="2"/>
      <c r="D21" s="2"/>
      <c r="E21" s="2"/>
      <c r="F21" s="2"/>
      <c r="G21" s="22" t="s">
        <v>19</v>
      </c>
      <c r="H21" s="22"/>
      <c r="I21" s="22"/>
      <c r="J21" s="9" t="e">
        <f>SUMPRODUCT((H13:H15=0.18)*E13:E15*G13:G15)*0.09</f>
        <v>#VALUE!</v>
      </c>
    </row>
    <row r="22" spans="2:10" ht="15.75" customHeight="1" x14ac:dyDescent="0.25">
      <c r="B22" s="21"/>
      <c r="C22" s="21"/>
      <c r="D22" s="21"/>
      <c r="E22" s="21"/>
      <c r="F22" s="21"/>
      <c r="G22" s="22" t="s">
        <v>20</v>
      </c>
      <c r="H22" s="22"/>
      <c r="I22" s="22"/>
      <c r="J22" s="9" t="e">
        <f>SUMPRODUCT((H13:H15=0.05)*E13:E15*G13:G15)*0.025</f>
        <v>#VALUE!</v>
      </c>
    </row>
    <row r="23" spans="2:10" ht="15.75" customHeight="1" x14ac:dyDescent="0.25">
      <c r="B23" s="22" t="s">
        <v>21</v>
      </c>
      <c r="C23" s="22"/>
      <c r="D23" s="22"/>
      <c r="E23" s="22"/>
      <c r="F23" s="22"/>
      <c r="G23" s="22" t="s">
        <v>22</v>
      </c>
      <c r="H23" s="22"/>
      <c r="I23" s="22"/>
      <c r="J23" s="9" t="e">
        <f>SUMPRODUCT((H13:H15=0.05)*E13:E15*G13:G15)*0.025</f>
        <v>#VALUE!</v>
      </c>
    </row>
    <row r="24" spans="2:10" ht="18" customHeight="1" x14ac:dyDescent="0.25">
      <c r="B24" s="2"/>
      <c r="C24" s="2"/>
      <c r="D24" s="2"/>
      <c r="E24" s="2"/>
      <c r="F24" s="2"/>
      <c r="G24" s="26" t="s">
        <v>15</v>
      </c>
      <c r="H24" s="26"/>
      <c r="I24" s="26"/>
      <c r="J24" s="14">
        <f>J17</f>
        <v>0</v>
      </c>
    </row>
    <row r="25" spans="2:10" ht="15.75" customHeight="1" x14ac:dyDescent="0.25">
      <c r="B25" s="2"/>
      <c r="C25" s="2"/>
      <c r="D25" s="2"/>
      <c r="E25" s="2"/>
      <c r="F25" s="2"/>
      <c r="G25" s="22"/>
      <c r="H25" s="22"/>
      <c r="I25" s="22"/>
      <c r="J25" s="9"/>
    </row>
    <row r="26" spans="2:10" ht="18" customHeight="1" x14ac:dyDescent="0.25">
      <c r="B26" s="2"/>
      <c r="C26" s="2"/>
      <c r="D26" s="2"/>
      <c r="E26" s="2"/>
      <c r="F26" s="2"/>
      <c r="G26" s="24"/>
      <c r="H26" s="24"/>
      <c r="I26" s="24"/>
      <c r="J26" s="16"/>
    </row>
    <row r="27" spans="2:10" ht="48.6" customHeight="1" x14ac:dyDescent="0.25">
      <c r="B27" s="2"/>
      <c r="C27" s="2"/>
      <c r="D27" s="2"/>
      <c r="E27" s="2"/>
      <c r="F27" s="2"/>
      <c r="G27" s="2"/>
      <c r="H27" s="2"/>
      <c r="I27" s="2"/>
      <c r="J27" s="2"/>
    </row>
    <row r="28" spans="2:10" ht="13.5" customHeight="1" x14ac:dyDescent="0.25">
      <c r="B28" s="21" t="s">
        <v>23</v>
      </c>
      <c r="C28" s="21"/>
      <c r="D28" s="21"/>
      <c r="E28" s="21"/>
      <c r="F28" s="21"/>
      <c r="G28" s="27" t="s">
        <v>28</v>
      </c>
      <c r="H28" s="27"/>
      <c r="I28" s="27"/>
      <c r="J28" s="27"/>
    </row>
    <row r="29" spans="2:10" ht="13.5" customHeight="1" x14ac:dyDescent="0.25">
      <c r="B29" s="22" t="s">
        <v>24</v>
      </c>
      <c r="C29" s="22"/>
      <c r="D29" s="22"/>
      <c r="E29" s="22"/>
      <c r="F29" s="22"/>
      <c r="G29" s="27"/>
      <c r="H29" s="27"/>
      <c r="I29" s="27"/>
      <c r="J29" s="27"/>
    </row>
    <row r="30" spans="2:10" ht="13.5" customHeight="1" x14ac:dyDescent="0.25">
      <c r="B30" s="22" t="s">
        <v>25</v>
      </c>
      <c r="C30" s="22"/>
      <c r="D30" s="22"/>
      <c r="E30" s="22"/>
      <c r="F30" s="22"/>
      <c r="G30" s="27"/>
      <c r="H30" s="27"/>
      <c r="I30" s="27"/>
      <c r="J30" s="27"/>
    </row>
    <row r="31" spans="2:10" ht="13.5" customHeight="1" x14ac:dyDescent="0.25">
      <c r="B31" s="22" t="s">
        <v>26</v>
      </c>
      <c r="C31" s="22"/>
      <c r="D31" s="22"/>
      <c r="E31" s="22"/>
      <c r="F31" s="22"/>
      <c r="G31" s="27"/>
      <c r="H31" s="27"/>
      <c r="I31" s="27"/>
      <c r="J31" s="27"/>
    </row>
    <row r="32" spans="2:10" ht="13.5" customHeight="1" x14ac:dyDescent="0.25">
      <c r="B32" s="22" t="s">
        <v>27</v>
      </c>
      <c r="C32" s="22"/>
      <c r="D32" s="22"/>
      <c r="E32" s="22"/>
      <c r="F32" s="22"/>
      <c r="G32" s="27"/>
      <c r="H32" s="27"/>
      <c r="I32" s="27"/>
      <c r="J32" s="27"/>
    </row>
    <row r="33" spans="2:10" ht="13.5" customHeight="1" x14ac:dyDescent="0.25">
      <c r="B33" s="2"/>
      <c r="C33" s="2"/>
      <c r="D33" s="2"/>
      <c r="E33" s="2"/>
      <c r="F33" s="2"/>
      <c r="G33" s="27"/>
      <c r="H33" s="27"/>
      <c r="I33" s="27"/>
      <c r="J33" s="27"/>
    </row>
    <row r="34" spans="2:10" ht="13.5" customHeight="1" x14ac:dyDescent="0.25">
      <c r="B34" s="2"/>
      <c r="C34" s="2"/>
      <c r="D34" s="2"/>
      <c r="E34" s="2"/>
      <c r="F34" s="2"/>
      <c r="G34" s="27"/>
      <c r="H34" s="27"/>
      <c r="I34" s="27"/>
      <c r="J34" s="27"/>
    </row>
  </sheetData>
  <mergeCells count="29">
    <mergeCell ref="B28:F28"/>
    <mergeCell ref="G28:J34"/>
    <mergeCell ref="B29:F29"/>
    <mergeCell ref="B30:F30"/>
    <mergeCell ref="B31:F31"/>
    <mergeCell ref="B32:F32"/>
    <mergeCell ref="B23:F23"/>
    <mergeCell ref="G23:I23"/>
    <mergeCell ref="G24:I24"/>
    <mergeCell ref="G25:I25"/>
    <mergeCell ref="G26:I26"/>
    <mergeCell ref="B20:F20"/>
    <mergeCell ref="G20:I20"/>
    <mergeCell ref="G21:I21"/>
    <mergeCell ref="B22:F22"/>
    <mergeCell ref="G22:I22"/>
    <mergeCell ref="B17:D17"/>
    <mergeCell ref="B19:F19"/>
    <mergeCell ref="G19:I19"/>
    <mergeCell ref="I10:J10"/>
    <mergeCell ref="B7:J7"/>
    <mergeCell ref="B8:F8"/>
    <mergeCell ref="B9:F9"/>
    <mergeCell ref="B10:H10"/>
    <mergeCell ref="B1:J1"/>
    <mergeCell ref="B2:J2"/>
    <mergeCell ref="B3:J3"/>
    <mergeCell ref="B4:J4"/>
    <mergeCell ref="I9:J9"/>
  </mergeCells>
  <pageMargins left="0.23622047244094491" right="0.23622047244094491" top="0.74803149606299213" bottom="0.74803149606299213" header="0.31496062992125984" footer="0.31496062992125984"/>
  <pageSetup paperSize="9" scale="7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Amar Vishwakarma</cp:lastModifiedBy>
  <cp:revision>0</cp:revision>
  <cp:lastPrinted>2026-08-04T06:53:41Z</cp:lastPrinted>
  <dcterms:created xsi:type="dcterms:W3CDTF">2026-03-25T12:13:30Z</dcterms:created>
  <dcterms:modified xsi:type="dcterms:W3CDTF">2026-09-08T20:07:52Z</dcterms:modified>
  <dc:language>en-US</dc:language>
</cp:coreProperties>
</file>